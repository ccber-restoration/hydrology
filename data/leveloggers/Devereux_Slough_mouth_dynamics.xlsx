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ber_work/Documents/GitHub/hydrology/data/leveloggers/"/>
    </mc:Choice>
  </mc:AlternateContent>
  <xr:revisionPtr revIDLastSave="0" documentId="13_ncr:1_{60D3C719-E2F3-2841-8766-468CD38B54A4}" xr6:coauthVersionLast="47" xr6:coauthVersionMax="47" xr10:uidLastSave="{00000000-0000-0000-0000-000000000000}"/>
  <bookViews>
    <workbookView xWindow="1320" yWindow="780" windowWidth="12380" windowHeight="17260" xr2:uid="{B7AFD977-4088-854F-842D-9B50112AD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<sst xmlns="http://schemas.openxmlformats.org/spreadsheetml/2006/main" count="7" uniqueCount="7">
  <si>
    <t>date_breach</t>
  </si>
  <si>
    <t>date_closure</t>
  </si>
  <si>
    <t>days_open_total</t>
  </si>
  <si>
    <t>days_tidal</t>
  </si>
  <si>
    <t>days_non_tidal</t>
  </si>
  <si>
    <t>water_year</t>
  </si>
  <si>
    <t>check_sum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</si>
</sst>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7452-AB60-954D-9CC6-21EC4C7B4B0A}">
  <dimension ref="A1:G15"/>
  <sheetViews>
    <sheetView tabSelected="1" workbookViewId="0">
      <selection activeCell="E14" sqref="E14"/>
    </sheetView>
  </sheetViews>
  <sheetFormatPr baseColWidth="10" defaultRowHeight="16" x14ac:dyDescent="0.2"/>
  <cols>
    <col min="2" max="2" width="11.33203125" bestFit="1" customWidth="1"/>
    <col min="3" max="3" width="11.6640625" bestFit="1" customWidth="1"/>
    <col min="4" max="4" width="14.6640625" bestFit="1" customWidth="1"/>
    <col min="6" max="6" width="13.5" bestFit="1" customWidth="1"/>
  </cols>
  <sheetData>
    <row r="1" spans="1:7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2">
      <c r="A2">
        <v>2019</v>
      </c>
      <c r="B2" s="1">
        <v>43472</v>
      </c>
      <c r="C2" s="1">
        <v>43545</v>
      </c>
      <c r="D2">
        <f>C2-B2</f>
        <v>73</v>
      </c>
      <c r="E2">
        <v>47</v>
      </c>
      <c r="F2">
        <v>26</v>
      </c>
      <c r="G2">
        <f>SUM(E2:F2)</f>
        <v>73</v>
      </c>
    </row>
    <row r="3" spans="1:7" x14ac:dyDescent="0.2">
      <c r="A3">
        <v>2020</v>
      </c>
      <c r="B3" s="1">
        <v>43906</v>
      </c>
      <c r="C3" s="1">
        <v>43926</v>
      </c>
      <c r="D3">
        <f t="shared" ref="D3:D15" si="0">C3-B3</f>
        <v>20</v>
      </c>
      <c r="E3">
        <v>9</v>
      </c>
      <c r="F3">
        <v>11</v>
      </c>
      <c r="G3">
        <f t="shared" ref="G3:G13" si="1">SUM(E3:F3)</f>
        <v>20</v>
      </c>
    </row>
    <row r="4" spans="1:7" x14ac:dyDescent="0.2">
      <c r="A4">
        <v>2021</v>
      </c>
      <c r="B4" s="1">
        <v>44224</v>
      </c>
      <c r="C4" s="1">
        <v>44242</v>
      </c>
      <c r="D4">
        <f t="shared" si="0"/>
        <v>18</v>
      </c>
      <c r="E4">
        <v>18</v>
      </c>
      <c r="F4">
        <v>0</v>
      </c>
      <c r="G4">
        <f t="shared" si="1"/>
        <v>18</v>
      </c>
    </row>
    <row r="5" spans="1:7" x14ac:dyDescent="0.2">
      <c r="A5">
        <v>2022</v>
      </c>
      <c r="B5" s="1">
        <v>44553</v>
      </c>
      <c r="C5" s="1">
        <v>44577</v>
      </c>
      <c r="D5">
        <f t="shared" si="0"/>
        <v>24</v>
      </c>
      <c r="E5">
        <v>22</v>
      </c>
      <c r="F5">
        <v>2</v>
      </c>
      <c r="G5">
        <f t="shared" si="1"/>
        <v>24</v>
      </c>
    </row>
    <row r="6" spans="1:7" x14ac:dyDescent="0.2">
      <c r="A6">
        <v>2023</v>
      </c>
      <c r="B6" s="1">
        <v>44926</v>
      </c>
      <c r="C6" s="1">
        <v>44961</v>
      </c>
      <c r="D6">
        <f t="shared" si="0"/>
        <v>35</v>
      </c>
      <c r="E6">
        <v>28</v>
      </c>
      <c r="F6">
        <v>7</v>
      </c>
      <c r="G6">
        <f t="shared" si="1"/>
        <v>35</v>
      </c>
    </row>
    <row r="7" spans="1:7" x14ac:dyDescent="0.2">
      <c r="A7">
        <v>2023</v>
      </c>
      <c r="B7" s="1">
        <v>44982</v>
      </c>
      <c r="C7" s="1">
        <v>44989</v>
      </c>
      <c r="D7">
        <f t="shared" si="0"/>
        <v>7</v>
      </c>
      <c r="E7">
        <v>7</v>
      </c>
      <c r="F7">
        <v>1</v>
      </c>
      <c r="G7">
        <f t="shared" si="1"/>
        <v>8</v>
      </c>
    </row>
    <row r="8" spans="1:7" x14ac:dyDescent="0.2">
      <c r="A8">
        <v>2023</v>
      </c>
      <c r="B8" s="1">
        <v>44995</v>
      </c>
      <c r="C8" s="1">
        <v>45015</v>
      </c>
      <c r="D8">
        <f t="shared" si="0"/>
        <v>20</v>
      </c>
      <c r="E8">
        <v>20</v>
      </c>
      <c r="F8">
        <v>1</v>
      </c>
      <c r="G8">
        <f t="shared" si="1"/>
        <v>21</v>
      </c>
    </row>
    <row r="9" spans="1:7" x14ac:dyDescent="0.2">
      <c r="A9">
        <v>2024</v>
      </c>
      <c r="B9" s="1">
        <v>45313</v>
      </c>
      <c r="C9" s="1">
        <v>45320</v>
      </c>
      <c r="D9">
        <f t="shared" si="0"/>
        <v>7</v>
      </c>
      <c r="E9">
        <v>8</v>
      </c>
      <c r="F9">
        <v>0</v>
      </c>
      <c r="G9">
        <f t="shared" si="1"/>
        <v>8</v>
      </c>
    </row>
    <row r="10" spans="1:7" x14ac:dyDescent="0.2">
      <c r="A10">
        <v>2024</v>
      </c>
      <c r="B10" s="1">
        <v>45323</v>
      </c>
      <c r="C10" s="1">
        <v>45342</v>
      </c>
      <c r="D10">
        <f t="shared" si="0"/>
        <v>19</v>
      </c>
      <c r="E10">
        <v>20</v>
      </c>
      <c r="F10">
        <v>0</v>
      </c>
      <c r="G10">
        <f t="shared" si="1"/>
        <v>20</v>
      </c>
    </row>
    <row r="11" spans="1:7" x14ac:dyDescent="0.2">
      <c r="A11">
        <v>2024</v>
      </c>
      <c r="B11" s="1">
        <v>45358</v>
      </c>
      <c r="C11" s="1">
        <v>45366</v>
      </c>
      <c r="D11">
        <f t="shared" si="0"/>
        <v>8</v>
      </c>
      <c r="E11">
        <v>9</v>
      </c>
      <c r="F11">
        <v>0</v>
      </c>
      <c r="G11">
        <f t="shared" si="1"/>
        <v>9</v>
      </c>
    </row>
    <row r="12" spans="1:7" x14ac:dyDescent="0.2">
      <c r="A12">
        <v>2025</v>
      </c>
      <c r="B12" s="1">
        <v>45701</v>
      </c>
      <c r="C12" s="1">
        <v>45719</v>
      </c>
      <c r="D12">
        <f t="shared" si="0"/>
        <v>18</v>
      </c>
      <c r="E12">
        <v>8</v>
      </c>
      <c r="F12">
        <v>9</v>
      </c>
      <c r="G12">
        <f t="shared" si="1"/>
        <v>17</v>
      </c>
    </row>
    <row r="13" spans="1:7" x14ac:dyDescent="0.2">
      <c r="A13">
        <v>2025</v>
      </c>
      <c r="B13" s="1">
        <v>45729</v>
      </c>
      <c r="C13" s="1">
        <v>45732</v>
      </c>
      <c r="D13">
        <f t="shared" si="0"/>
        <v>3</v>
      </c>
      <c r="E13">
        <v>3</v>
      </c>
      <c r="F13">
        <v>0</v>
      </c>
      <c r="G13">
        <f t="shared" si="1"/>
        <v>3</v>
      </c>
    </row>
    <row r="14" spans="1:7" x14ac:dyDescent="0.2">
      <c r="A14">
        <v>2026</v>
      </c>
      <c r="B14" s="1">
        <v>45976</v>
      </c>
      <c r="C14" s="1">
        <v>46059</v>
      </c>
      <c r="D14">
        <f t="shared" si="0"/>
        <v>83</v>
      </c>
    </row>
    <row r="15" spans="1:7" x14ac:dyDescent="0.2">
      <c r="A15">
        <v>2026</v>
      </c>
      <c r="B15" s="1">
        <v>46072</v>
      </c>
      <c r="C15" s="1">
        <v>46088</v>
      </c>
      <c r="D15">
        <f t="shared" si="0"/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Francis Joyce</cp:lastModifiedBy>
  <dcterms:created xsi:type="dcterms:W3CDTF">2026-10-06T20:18:31Z</dcterms:created>
  <dcterms:modified xsi:type="dcterms:W3CDTF">2026-10-06T20:29:45Z</dcterms:modified>
</cp:coreProperties>
</file>